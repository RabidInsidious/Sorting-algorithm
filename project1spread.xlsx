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75d288096e3cb2/Desktop/271 csci notes/"/>
    </mc:Choice>
  </mc:AlternateContent>
  <xr:revisionPtr revIDLastSave="50" documentId="8_{F7DE0353-49DA-4099-8E71-7D7B3A93307A}" xr6:coauthVersionLast="47" xr6:coauthVersionMax="47" xr10:uidLastSave="{924D3254-0F2A-4E10-88C2-12DECEAB4AC9}"/>
  <bookViews>
    <workbookView xWindow="-120" yWindow="-120" windowWidth="29040" windowHeight="18240" xr2:uid="{8B683176-8A4F-4B99-9C88-C0CB48C8C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5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5" i="1"/>
  <c r="C30" i="1"/>
  <c r="C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29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</calcChain>
</file>

<file path=xl/sharedStrings.xml><?xml version="1.0" encoding="utf-8"?>
<sst xmlns="http://schemas.openxmlformats.org/spreadsheetml/2006/main" count="71" uniqueCount="42">
  <si>
    <t>Random Comparisons (C(n))</t>
  </si>
  <si>
    <t>C(n)/n</t>
  </si>
  <si>
    <t>C(n)/n^2</t>
  </si>
  <si>
    <t>C(n)/n^3</t>
  </si>
  <si>
    <t>-</t>
  </si>
  <si>
    <t>Ascending(n)</t>
  </si>
  <si>
    <t>C(n)/sprt(n)</t>
  </si>
  <si>
    <t>Dscending(n)</t>
  </si>
  <si>
    <t>Random(n)</t>
  </si>
  <si>
    <t>C(n) faster than g(n)</t>
  </si>
  <si>
    <t>C(n) slower g(n)</t>
  </si>
  <si>
    <t>C(n) slower than g(n)</t>
  </si>
  <si>
    <t>C(n) same rate g(n)</t>
  </si>
  <si>
    <t>C(n) even slower</t>
  </si>
  <si>
    <t xml:space="preserve">C(n)/n </t>
  </si>
  <si>
    <t>C(n)/n = n/4 aprox</t>
  </si>
  <si>
    <t>C(n)/n^2 = 1/4 aprox</t>
  </si>
  <si>
    <t>C(n)/n^3 = 0 aprox</t>
  </si>
  <si>
    <t>C(2n)/C(n) =4 aprox</t>
  </si>
  <si>
    <t>C(n)/n = 1 aprox</t>
  </si>
  <si>
    <t>C(n)/n^2 = 0 aprox</t>
  </si>
  <si>
    <t>C(2n)/C(n)=2 aprox</t>
  </si>
  <si>
    <t>C(n)/n = n/2 aprox</t>
  </si>
  <si>
    <t>C(n)/n^2 = 1/2 aprox</t>
  </si>
  <si>
    <t>C(2n)/C(n) = 4 aprox</t>
  </si>
  <si>
    <t>AverageCase</t>
  </si>
  <si>
    <t>O(n^2)</t>
  </si>
  <si>
    <t>Best case</t>
  </si>
  <si>
    <t>C(n) = n-1</t>
  </si>
  <si>
    <t>O(n)</t>
  </si>
  <si>
    <t>Worst case</t>
  </si>
  <si>
    <t>C(n) = ((n-1)n/2)</t>
  </si>
  <si>
    <t>Array Size</t>
  </si>
  <si>
    <t>Comparisons done</t>
  </si>
  <si>
    <t>First prospective of C(n)</t>
  </si>
  <si>
    <t>Second prospective of C(n)</t>
  </si>
  <si>
    <t>Third prospective of C(n)</t>
  </si>
  <si>
    <t>Time complexity</t>
  </si>
  <si>
    <t>Type of case</t>
  </si>
  <si>
    <t>general function of C(n)</t>
  </si>
  <si>
    <t>Time efficiency/Order of growth</t>
  </si>
  <si>
    <t>C(n) = (n^2)/5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</si>
</sst>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0611-FE89-44D5-A165-4CBBE8B6AC64}">
  <dimension ref="A1:I72"/>
  <sheetViews>
    <sheetView tabSelected="1" workbookViewId="0">
      <selection activeCell="F66" sqref="F66"/>
    </sheetView>
  </sheetViews>
  <sheetFormatPr defaultRowHeight="15" x14ac:dyDescent="0.25"/>
  <cols>
    <col min="1" max="1" width="14.140625" customWidth="1"/>
    <col min="2" max="2" width="26.5703125" customWidth="1"/>
    <col min="3" max="3" width="22.42578125" customWidth="1"/>
    <col min="4" max="4" width="24" customWidth="1"/>
    <col min="5" max="5" width="22.5703125" customWidth="1"/>
    <col min="6" max="6" width="18.85546875" customWidth="1"/>
    <col min="7" max="7" width="19.7109375" customWidth="1"/>
    <col min="8" max="8" width="21.85546875" customWidth="1"/>
    <col min="9" max="9" width="28.42578125" customWidth="1"/>
  </cols>
  <sheetData>
    <row r="1" spans="1:9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3" spans="1:9" x14ac:dyDescent="0.25">
      <c r="C3" t="s">
        <v>9</v>
      </c>
      <c r="D3" t="s">
        <v>12</v>
      </c>
      <c r="E3" t="s">
        <v>10</v>
      </c>
      <c r="G3" t="s">
        <v>25</v>
      </c>
      <c r="H3" t="s">
        <v>41</v>
      </c>
      <c r="I3" t="s">
        <v>26</v>
      </c>
    </row>
    <row r="4" spans="1:9" x14ac:dyDescent="0.25">
      <c r="A4" t="s">
        <v>8</v>
      </c>
      <c r="B4" t="s">
        <v>0</v>
      </c>
      <c r="C4" t="s">
        <v>15</v>
      </c>
      <c r="D4" t="s">
        <v>16</v>
      </c>
      <c r="E4" t="s">
        <v>17</v>
      </c>
      <c r="F4" t="s">
        <v>18</v>
      </c>
    </row>
    <row r="5" spans="1:9" x14ac:dyDescent="0.25">
      <c r="A5">
        <v>1000</v>
      </c>
      <c r="B5">
        <v>240964</v>
      </c>
      <c r="C5">
        <f>B5/A5</f>
        <v>240.964</v>
      </c>
      <c r="D5">
        <f>B5/A5^2</f>
        <v>0.24096400000000001</v>
      </c>
      <c r="E5">
        <f>B5/A5^3</f>
        <v>2.4096400000000001E-4</v>
      </c>
      <c r="F5">
        <v>3.9569999999999999</v>
      </c>
    </row>
    <row r="6" spans="1:9" x14ac:dyDescent="0.25">
      <c r="A6">
        <v>2000</v>
      </c>
      <c r="B6">
        <v>953818</v>
      </c>
      <c r="C6">
        <f t="shared" ref="C6:C24" si="0">B6/A6</f>
        <v>476.90899999999999</v>
      </c>
      <c r="D6">
        <f t="shared" ref="D6:D24" si="1">B6/A6^2</f>
        <v>0.23845450000000001</v>
      </c>
      <c r="E6">
        <f t="shared" ref="E6:E24" si="2">B6/A6^3</f>
        <v>1.1922725000000001E-4</v>
      </c>
      <c r="F6">
        <v>4.0590000000000002</v>
      </c>
    </row>
    <row r="7" spans="1:9" x14ac:dyDescent="0.25">
      <c r="A7">
        <v>3000</v>
      </c>
      <c r="B7">
        <v>2249967</v>
      </c>
      <c r="C7">
        <f t="shared" si="0"/>
        <v>749.98900000000003</v>
      </c>
      <c r="D7">
        <f t="shared" si="1"/>
        <v>0.24999633333333332</v>
      </c>
      <c r="E7">
        <f t="shared" si="2"/>
        <v>8.333211111111111E-5</v>
      </c>
      <c r="F7">
        <v>3.9590000000000001</v>
      </c>
    </row>
    <row r="8" spans="1:9" x14ac:dyDescent="0.25">
      <c r="A8">
        <v>4000</v>
      </c>
      <c r="B8">
        <v>3951535</v>
      </c>
      <c r="C8">
        <f t="shared" si="0"/>
        <v>987.88374999999996</v>
      </c>
      <c r="D8">
        <f t="shared" si="1"/>
        <v>0.24697093749999999</v>
      </c>
      <c r="E8">
        <f t="shared" si="2"/>
        <v>6.1742734374999999E-5</v>
      </c>
      <c r="F8">
        <v>3.972</v>
      </c>
    </row>
    <row r="9" spans="1:9" x14ac:dyDescent="0.25">
      <c r="A9">
        <v>5000</v>
      </c>
      <c r="B9">
        <v>6204793</v>
      </c>
      <c r="C9">
        <f t="shared" si="0"/>
        <v>1240.9585999999999</v>
      </c>
      <c r="D9">
        <f t="shared" si="1"/>
        <v>0.24819172</v>
      </c>
      <c r="E9">
        <f t="shared" si="2"/>
        <v>4.9638344000000002E-5</v>
      </c>
      <c r="F9">
        <v>3.9910000000000001</v>
      </c>
    </row>
    <row r="10" spans="1:9" x14ac:dyDescent="0.25">
      <c r="A10">
        <v>6000</v>
      </c>
      <c r="B10">
        <v>8876384</v>
      </c>
      <c r="C10">
        <f t="shared" si="0"/>
        <v>1479.3973333333333</v>
      </c>
      <c r="D10">
        <f t="shared" si="1"/>
        <v>0.24656622222222221</v>
      </c>
      <c r="E10">
        <f t="shared" si="2"/>
        <v>4.1094370370370369E-5</v>
      </c>
      <c r="F10">
        <v>3.996</v>
      </c>
    </row>
    <row r="11" spans="1:9" x14ac:dyDescent="0.25">
      <c r="A11">
        <v>7000</v>
      </c>
      <c r="B11">
        <v>12181310</v>
      </c>
      <c r="C11">
        <f t="shared" si="0"/>
        <v>1740.1871428571428</v>
      </c>
      <c r="D11">
        <f t="shared" si="1"/>
        <v>0.24859816326530612</v>
      </c>
      <c r="E11">
        <f t="shared" si="2"/>
        <v>3.551402332361516E-5</v>
      </c>
      <c r="F11">
        <v>3.996</v>
      </c>
    </row>
    <row r="12" spans="1:9" x14ac:dyDescent="0.25">
      <c r="A12">
        <v>8000</v>
      </c>
      <c r="B12">
        <v>15950302</v>
      </c>
      <c r="C12">
        <f t="shared" si="0"/>
        <v>1993.78775</v>
      </c>
      <c r="D12">
        <f t="shared" si="1"/>
        <v>0.24922346875000001</v>
      </c>
      <c r="E12">
        <f t="shared" si="2"/>
        <v>3.1152933593749999E-5</v>
      </c>
      <c r="F12">
        <v>3.9950000000000001</v>
      </c>
    </row>
    <row r="13" spans="1:9" x14ac:dyDescent="0.25">
      <c r="A13">
        <v>9000</v>
      </c>
      <c r="B13">
        <v>20124191</v>
      </c>
      <c r="C13">
        <f t="shared" si="0"/>
        <v>2236.0212222222221</v>
      </c>
      <c r="D13">
        <f t="shared" si="1"/>
        <v>0.24844680246913581</v>
      </c>
      <c r="E13">
        <f t="shared" si="2"/>
        <v>2.7605200274348423E-5</v>
      </c>
      <c r="F13">
        <v>3.9940000000000002</v>
      </c>
    </row>
    <row r="14" spans="1:9" x14ac:dyDescent="0.25">
      <c r="A14">
        <v>10000</v>
      </c>
      <c r="B14">
        <v>25205304</v>
      </c>
      <c r="C14">
        <f t="shared" si="0"/>
        <v>2520.5304000000001</v>
      </c>
      <c r="D14">
        <f t="shared" si="1"/>
        <v>0.25205304000000001</v>
      </c>
      <c r="E14">
        <f t="shared" si="2"/>
        <v>2.5205303999999998E-5</v>
      </c>
      <c r="F14">
        <v>3.9950000000000001</v>
      </c>
    </row>
    <row r="15" spans="1:9" x14ac:dyDescent="0.25">
      <c r="A15">
        <v>11000</v>
      </c>
      <c r="B15">
        <v>30447535</v>
      </c>
      <c r="C15">
        <f t="shared" si="0"/>
        <v>2767.9577272727274</v>
      </c>
      <c r="D15">
        <f t="shared" si="1"/>
        <v>0.25163252066115704</v>
      </c>
      <c r="E15">
        <f t="shared" si="2"/>
        <v>2.2875683696468821E-5</v>
      </c>
      <c r="F15" t="s">
        <v>4</v>
      </c>
    </row>
    <row r="16" spans="1:9" x14ac:dyDescent="0.25">
      <c r="A16">
        <v>12000</v>
      </c>
      <c r="B16">
        <v>36201021</v>
      </c>
      <c r="C16">
        <f t="shared" si="0"/>
        <v>3016.7517499999999</v>
      </c>
      <c r="D16">
        <f t="shared" si="1"/>
        <v>0.25139597916666667</v>
      </c>
      <c r="E16">
        <f t="shared" si="2"/>
        <v>2.0949664930555554E-5</v>
      </c>
      <c r="F16" t="s">
        <v>4</v>
      </c>
    </row>
    <row r="17" spans="1:9" x14ac:dyDescent="0.25">
      <c r="A17">
        <v>13000</v>
      </c>
      <c r="B17">
        <v>42380447</v>
      </c>
      <c r="C17">
        <f t="shared" si="0"/>
        <v>3260.0343846153846</v>
      </c>
      <c r="D17">
        <f t="shared" si="1"/>
        <v>0.25077187573964499</v>
      </c>
      <c r="E17">
        <f t="shared" si="2"/>
        <v>1.9290144287664997E-5</v>
      </c>
      <c r="F17" t="s">
        <v>4</v>
      </c>
    </row>
    <row r="18" spans="1:9" x14ac:dyDescent="0.25">
      <c r="A18">
        <v>14000</v>
      </c>
      <c r="B18">
        <v>49168208</v>
      </c>
      <c r="C18">
        <f t="shared" si="0"/>
        <v>3512.0148571428572</v>
      </c>
      <c r="D18">
        <f t="shared" si="1"/>
        <v>0.25085820408163267</v>
      </c>
      <c r="E18">
        <f t="shared" si="2"/>
        <v>1.7918443148688047E-5</v>
      </c>
      <c r="F18" t="s">
        <v>4</v>
      </c>
    </row>
    <row r="19" spans="1:9" x14ac:dyDescent="0.25">
      <c r="A19">
        <v>15000</v>
      </c>
      <c r="B19">
        <v>56560811</v>
      </c>
      <c r="C19">
        <f t="shared" si="0"/>
        <v>3770.7207333333336</v>
      </c>
      <c r="D19">
        <f t="shared" si="1"/>
        <v>0.25138138222222223</v>
      </c>
      <c r="E19">
        <f t="shared" si="2"/>
        <v>1.6758758814814814E-5</v>
      </c>
      <c r="F19" t="s">
        <v>4</v>
      </c>
    </row>
    <row r="20" spans="1:9" x14ac:dyDescent="0.25">
      <c r="A20">
        <v>16000</v>
      </c>
      <c r="B20">
        <v>63914065</v>
      </c>
      <c r="C20">
        <f t="shared" si="0"/>
        <v>3994.6290625000001</v>
      </c>
      <c r="D20">
        <f t="shared" si="1"/>
        <v>0.24966431640625</v>
      </c>
      <c r="E20">
        <f t="shared" si="2"/>
        <v>1.5604019775390626E-5</v>
      </c>
      <c r="F20" t="s">
        <v>4</v>
      </c>
    </row>
    <row r="21" spans="1:9" x14ac:dyDescent="0.25">
      <c r="A21">
        <v>17000</v>
      </c>
      <c r="B21">
        <v>71796889</v>
      </c>
      <c r="C21">
        <f t="shared" si="0"/>
        <v>4223.3464117647063</v>
      </c>
      <c r="D21">
        <f t="shared" si="1"/>
        <v>0.24843214186851212</v>
      </c>
      <c r="E21">
        <f t="shared" si="2"/>
        <v>1.4613655404030124E-5</v>
      </c>
      <c r="F21" t="s">
        <v>4</v>
      </c>
    </row>
    <row r="22" spans="1:9" x14ac:dyDescent="0.25">
      <c r="A22">
        <v>18000</v>
      </c>
      <c r="B22">
        <v>81089989</v>
      </c>
      <c r="C22">
        <f t="shared" si="0"/>
        <v>4504.9993888888885</v>
      </c>
      <c r="D22">
        <f t="shared" si="1"/>
        <v>0.2502777438271605</v>
      </c>
      <c r="E22">
        <f t="shared" si="2"/>
        <v>1.3904319101508917E-5</v>
      </c>
      <c r="F22" t="s">
        <v>4</v>
      </c>
    </row>
    <row r="23" spans="1:9" x14ac:dyDescent="0.25">
      <c r="A23">
        <v>19000</v>
      </c>
      <c r="B23">
        <v>90576495</v>
      </c>
      <c r="C23">
        <f t="shared" si="0"/>
        <v>4767.1839473684213</v>
      </c>
      <c r="D23">
        <f t="shared" si="1"/>
        <v>0.2509044182825485</v>
      </c>
      <c r="E23">
        <f t="shared" si="2"/>
        <v>1.32054956990815E-5</v>
      </c>
      <c r="F23" t="s">
        <v>4</v>
      </c>
    </row>
    <row r="24" spans="1:9" x14ac:dyDescent="0.25">
      <c r="A24">
        <v>20000</v>
      </c>
      <c r="B24">
        <v>100668369</v>
      </c>
      <c r="C24">
        <f t="shared" si="0"/>
        <v>5033.4184500000001</v>
      </c>
      <c r="D24">
        <f t="shared" si="1"/>
        <v>0.2516709225</v>
      </c>
      <c r="E24">
        <f t="shared" si="2"/>
        <v>1.2583546124999999E-5</v>
      </c>
      <c r="F24" t="s">
        <v>4</v>
      </c>
    </row>
    <row r="26" spans="1:9" x14ac:dyDescent="0.25">
      <c r="C26" t="s">
        <v>12</v>
      </c>
      <c r="D26" t="s">
        <v>11</v>
      </c>
      <c r="E26" t="s">
        <v>13</v>
      </c>
    </row>
    <row r="27" spans="1:9" x14ac:dyDescent="0.25">
      <c r="C27" t="s">
        <v>19</v>
      </c>
      <c r="D27" t="s">
        <v>20</v>
      </c>
      <c r="E27" t="s">
        <v>17</v>
      </c>
      <c r="G27" t="s">
        <v>27</v>
      </c>
      <c r="H27" t="s">
        <v>28</v>
      </c>
      <c r="I27" t="s">
        <v>29</v>
      </c>
    </row>
    <row r="28" spans="1:9" x14ac:dyDescent="0.25">
      <c r="A28" t="s">
        <v>5</v>
      </c>
      <c r="B28" t="s">
        <v>0</v>
      </c>
      <c r="C28" t="s">
        <v>6</v>
      </c>
      <c r="D28" t="s">
        <v>1</v>
      </c>
      <c r="E28" t="s">
        <v>2</v>
      </c>
      <c r="F28" t="s">
        <v>21</v>
      </c>
    </row>
    <row r="29" spans="1:9" x14ac:dyDescent="0.25">
      <c r="A29">
        <v>1000</v>
      </c>
      <c r="B29">
        <v>999</v>
      </c>
      <c r="C29">
        <f>ROUNDUP(B29/SQRT(A29), 5)</f>
        <v>31.591159999999999</v>
      </c>
      <c r="D29">
        <f>B29/A29</f>
        <v>0.999</v>
      </c>
      <c r="E29">
        <f>B29/A29^2</f>
        <v>9.990000000000001E-4</v>
      </c>
      <c r="F29">
        <f>2*(B29)/B29</f>
        <v>2</v>
      </c>
    </row>
    <row r="30" spans="1:9" x14ac:dyDescent="0.25">
      <c r="A30">
        <v>2000</v>
      </c>
      <c r="B30">
        <v>1999</v>
      </c>
      <c r="C30">
        <f>ROUNDUP(B30/SQRT(A30), 3)</f>
        <v>44.698999999999998</v>
      </c>
      <c r="D30">
        <f t="shared" ref="D30:D48" si="3">B30/A30</f>
        <v>0.99950000000000006</v>
      </c>
      <c r="E30">
        <f t="shared" ref="E30:E48" si="4">B30/A30^2</f>
        <v>4.9974999999999998E-4</v>
      </c>
      <c r="F30">
        <f t="shared" ref="F30:F48" si="5">2*(B30)/B30</f>
        <v>2</v>
      </c>
    </row>
    <row r="31" spans="1:9" x14ac:dyDescent="0.25">
      <c r="A31">
        <v>3000</v>
      </c>
      <c r="B31">
        <v>2999</v>
      </c>
      <c r="C31">
        <f t="shared" ref="C31:C48" si="6">B31/SQRT(A31)</f>
        <v>54.753998331933104</v>
      </c>
      <c r="D31">
        <f t="shared" si="3"/>
        <v>0.9996666666666667</v>
      </c>
      <c r="E31">
        <f t="shared" si="4"/>
        <v>3.3322222222222222E-4</v>
      </c>
      <c r="F31">
        <f t="shared" si="5"/>
        <v>2</v>
      </c>
    </row>
    <row r="32" spans="1:9" x14ac:dyDescent="0.25">
      <c r="A32">
        <v>4000</v>
      </c>
      <c r="B32">
        <v>3999</v>
      </c>
      <c r="C32">
        <f t="shared" si="6"/>
        <v>63.229741815066745</v>
      </c>
      <c r="D32">
        <f t="shared" si="3"/>
        <v>0.99975000000000003</v>
      </c>
      <c r="E32">
        <f t="shared" si="4"/>
        <v>2.499375E-4</v>
      </c>
      <c r="F32">
        <f t="shared" si="5"/>
        <v>2</v>
      </c>
    </row>
    <row r="33" spans="1:6" x14ac:dyDescent="0.25">
      <c r="A33">
        <v>5000</v>
      </c>
      <c r="B33">
        <v>4999</v>
      </c>
      <c r="C33">
        <f t="shared" si="6"/>
        <v>70.696535983031012</v>
      </c>
      <c r="D33">
        <f t="shared" si="3"/>
        <v>0.99980000000000002</v>
      </c>
      <c r="E33">
        <f t="shared" si="4"/>
        <v>1.9996E-4</v>
      </c>
      <c r="F33">
        <f t="shared" si="5"/>
        <v>2</v>
      </c>
    </row>
    <row r="34" spans="1:6" x14ac:dyDescent="0.25">
      <c r="A34">
        <v>6000</v>
      </c>
      <c r="B34">
        <v>5999</v>
      </c>
      <c r="C34">
        <f t="shared" si="6"/>
        <v>77.446756979660975</v>
      </c>
      <c r="D34">
        <f t="shared" si="3"/>
        <v>0.99983333333333335</v>
      </c>
      <c r="E34">
        <f t="shared" si="4"/>
        <v>1.6663888888888889E-4</v>
      </c>
      <c r="F34">
        <f t="shared" si="5"/>
        <v>2</v>
      </c>
    </row>
    <row r="35" spans="1:6" x14ac:dyDescent="0.25">
      <c r="A35">
        <v>7000</v>
      </c>
      <c r="B35">
        <v>6999</v>
      </c>
      <c r="C35">
        <f t="shared" si="6"/>
        <v>83.654050367314213</v>
      </c>
      <c r="D35">
        <f t="shared" si="3"/>
        <v>0.99985714285714289</v>
      </c>
      <c r="E35">
        <f t="shared" si="4"/>
        <v>1.4283673469387754E-4</v>
      </c>
      <c r="F35">
        <f t="shared" si="5"/>
        <v>2</v>
      </c>
    </row>
    <row r="36" spans="1:6" x14ac:dyDescent="0.25">
      <c r="A36">
        <v>8000</v>
      </c>
      <c r="B36">
        <v>7999</v>
      </c>
      <c r="C36">
        <f t="shared" si="6"/>
        <v>89.43153876010409</v>
      </c>
      <c r="D36">
        <f t="shared" si="3"/>
        <v>0.99987499999999996</v>
      </c>
      <c r="E36">
        <f t="shared" si="4"/>
        <v>1.2498437499999999E-4</v>
      </c>
      <c r="F36">
        <f t="shared" si="5"/>
        <v>2</v>
      </c>
    </row>
    <row r="37" spans="1:6" x14ac:dyDescent="0.25">
      <c r="A37">
        <v>9000</v>
      </c>
      <c r="B37">
        <v>8999</v>
      </c>
      <c r="C37">
        <f t="shared" si="6"/>
        <v>94.857788879517486</v>
      </c>
      <c r="D37">
        <f t="shared" si="3"/>
        <v>0.99988888888888894</v>
      </c>
      <c r="E37">
        <f t="shared" si="4"/>
        <v>1.1109876543209877E-4</v>
      </c>
      <c r="F37">
        <f t="shared" si="5"/>
        <v>2</v>
      </c>
    </row>
    <row r="38" spans="1:6" x14ac:dyDescent="0.25">
      <c r="A38">
        <v>10000</v>
      </c>
      <c r="B38">
        <v>9999</v>
      </c>
      <c r="C38">
        <f t="shared" si="6"/>
        <v>99.99</v>
      </c>
      <c r="D38">
        <f t="shared" si="3"/>
        <v>0.99990000000000001</v>
      </c>
      <c r="E38">
        <f t="shared" si="4"/>
        <v>9.9989999999999996E-5</v>
      </c>
      <c r="F38">
        <f t="shared" si="5"/>
        <v>2</v>
      </c>
    </row>
    <row r="39" spans="1:6" x14ac:dyDescent="0.25">
      <c r="A39">
        <v>11000</v>
      </c>
      <c r="B39">
        <v>10999</v>
      </c>
      <c r="C39">
        <f t="shared" si="6"/>
        <v>104.8713501911227</v>
      </c>
      <c r="D39">
        <f t="shared" si="3"/>
        <v>0.99990909090909086</v>
      </c>
      <c r="E39">
        <f t="shared" si="4"/>
        <v>9.0900826446280985E-5</v>
      </c>
      <c r="F39">
        <f t="shared" si="5"/>
        <v>2</v>
      </c>
    </row>
    <row r="40" spans="1:6" x14ac:dyDescent="0.25">
      <c r="A40">
        <v>12000</v>
      </c>
      <c r="B40">
        <v>11999</v>
      </c>
      <c r="C40">
        <f t="shared" si="6"/>
        <v>109.53538279174147</v>
      </c>
      <c r="D40">
        <f t="shared" si="3"/>
        <v>0.99991666666666668</v>
      </c>
      <c r="E40">
        <f t="shared" si="4"/>
        <v>8.3326388888888887E-5</v>
      </c>
      <c r="F40">
        <f t="shared" si="5"/>
        <v>2</v>
      </c>
    </row>
    <row r="41" spans="1:6" x14ac:dyDescent="0.25">
      <c r="A41">
        <v>13000</v>
      </c>
      <c r="B41">
        <v>12999</v>
      </c>
      <c r="C41">
        <f t="shared" si="6"/>
        <v>114.00877192972074</v>
      </c>
      <c r="D41">
        <f t="shared" si="3"/>
        <v>0.99992307692307691</v>
      </c>
      <c r="E41">
        <f t="shared" si="4"/>
        <v>7.6917159763313604E-5</v>
      </c>
      <c r="F41">
        <f t="shared" si="5"/>
        <v>2</v>
      </c>
    </row>
    <row r="42" spans="1:6" x14ac:dyDescent="0.25">
      <c r="A42">
        <v>14000</v>
      </c>
      <c r="B42">
        <v>13999</v>
      </c>
      <c r="C42">
        <f t="shared" si="6"/>
        <v>118.31314411944504</v>
      </c>
      <c r="D42">
        <f t="shared" si="3"/>
        <v>0.99992857142857139</v>
      </c>
      <c r="E42">
        <f t="shared" si="4"/>
        <v>7.1423469387755102E-5</v>
      </c>
      <c r="F42">
        <f t="shared" si="5"/>
        <v>2</v>
      </c>
    </row>
    <row r="43" spans="1:6" x14ac:dyDescent="0.25">
      <c r="A43">
        <v>15000</v>
      </c>
      <c r="B43">
        <v>14999</v>
      </c>
      <c r="C43">
        <f t="shared" si="6"/>
        <v>122.46632217334962</v>
      </c>
      <c r="D43">
        <f t="shared" si="3"/>
        <v>0.99993333333333334</v>
      </c>
      <c r="E43">
        <f t="shared" si="4"/>
        <v>6.6662222222222225E-5</v>
      </c>
      <c r="F43">
        <f t="shared" si="5"/>
        <v>2</v>
      </c>
    </row>
    <row r="44" spans="1:6" x14ac:dyDescent="0.25">
      <c r="A44">
        <v>16000</v>
      </c>
      <c r="B44">
        <v>15999</v>
      </c>
      <c r="C44">
        <f t="shared" si="6"/>
        <v>126.48320071258476</v>
      </c>
      <c r="D44">
        <f t="shared" si="3"/>
        <v>0.99993750000000003</v>
      </c>
      <c r="E44">
        <f t="shared" si="4"/>
        <v>6.2496093749999997E-5</v>
      </c>
      <c r="F44">
        <f t="shared" si="5"/>
        <v>2</v>
      </c>
    </row>
    <row r="45" spans="1:6" x14ac:dyDescent="0.25">
      <c r="A45">
        <v>17000</v>
      </c>
      <c r="B45">
        <v>16999</v>
      </c>
      <c r="C45">
        <f t="shared" si="6"/>
        <v>130.37637845416452</v>
      </c>
      <c r="D45">
        <f t="shared" si="3"/>
        <v>0.99994117647058822</v>
      </c>
      <c r="E45">
        <f t="shared" si="4"/>
        <v>5.8820069204152252E-5</v>
      </c>
      <c r="F45">
        <f t="shared" si="5"/>
        <v>2</v>
      </c>
    </row>
    <row r="46" spans="1:6" x14ac:dyDescent="0.25">
      <c r="A46">
        <v>18000</v>
      </c>
      <c r="B46">
        <v>17999</v>
      </c>
      <c r="C46">
        <f t="shared" si="6"/>
        <v>134.15662509006239</v>
      </c>
      <c r="D46">
        <f t="shared" si="3"/>
        <v>0.99994444444444441</v>
      </c>
      <c r="E46">
        <f t="shared" si="4"/>
        <v>5.5552469135802471E-5</v>
      </c>
      <c r="F46">
        <f t="shared" si="5"/>
        <v>2</v>
      </c>
    </row>
    <row r="47" spans="1:6" x14ac:dyDescent="0.25">
      <c r="A47">
        <v>19000</v>
      </c>
      <c r="B47">
        <v>18999</v>
      </c>
      <c r="C47">
        <f t="shared" si="6"/>
        <v>137.8332327584011</v>
      </c>
      <c r="D47">
        <f t="shared" si="3"/>
        <v>0.99994736842105258</v>
      </c>
      <c r="E47">
        <f t="shared" si="4"/>
        <v>5.2628808864265929E-5</v>
      </c>
      <c r="F47">
        <f t="shared" si="5"/>
        <v>2</v>
      </c>
    </row>
    <row r="48" spans="1:6" x14ac:dyDescent="0.25">
      <c r="A48">
        <v>20000</v>
      </c>
      <c r="B48">
        <v>19999</v>
      </c>
      <c r="C48">
        <f t="shared" si="6"/>
        <v>141.41428516949765</v>
      </c>
      <c r="D48">
        <f t="shared" si="3"/>
        <v>0.99995000000000001</v>
      </c>
      <c r="E48">
        <f t="shared" si="4"/>
        <v>4.9997499999999997E-5</v>
      </c>
      <c r="F48">
        <f t="shared" si="5"/>
        <v>2</v>
      </c>
    </row>
    <row r="50" spans="1:9" x14ac:dyDescent="0.25">
      <c r="C50" t="s">
        <v>9</v>
      </c>
      <c r="D50" t="s">
        <v>12</v>
      </c>
      <c r="E50" t="s">
        <v>11</v>
      </c>
    </row>
    <row r="51" spans="1:9" x14ac:dyDescent="0.25">
      <c r="C51" t="s">
        <v>22</v>
      </c>
      <c r="D51" t="s">
        <v>23</v>
      </c>
      <c r="E51" t="s">
        <v>17</v>
      </c>
      <c r="G51" t="s">
        <v>30</v>
      </c>
      <c r="H51" t="s">
        <v>31</v>
      </c>
      <c r="I51" t="s">
        <v>29</v>
      </c>
    </row>
    <row r="52" spans="1:9" x14ac:dyDescent="0.25">
      <c r="A52" t="s">
        <v>7</v>
      </c>
      <c r="B52" t="s">
        <v>0</v>
      </c>
      <c r="C52" t="s">
        <v>14</v>
      </c>
      <c r="D52" t="s">
        <v>2</v>
      </c>
      <c r="E52" t="s">
        <v>3</v>
      </c>
      <c r="F52" t="s">
        <v>24</v>
      </c>
    </row>
    <row r="53" spans="1:9" x14ac:dyDescent="0.25">
      <c r="A53">
        <v>1000</v>
      </c>
      <c r="B53">
        <v>499500</v>
      </c>
      <c r="C53">
        <f>B53/A53</f>
        <v>499.5</v>
      </c>
      <c r="D53">
        <f>B53/A53^2</f>
        <v>0.4995</v>
      </c>
      <c r="E53">
        <f>B53/A53^3</f>
        <v>4.9950000000000005E-4</v>
      </c>
      <c r="F53">
        <v>4.0010000000000003</v>
      </c>
    </row>
    <row r="54" spans="1:9" x14ac:dyDescent="0.25">
      <c r="A54">
        <v>2000</v>
      </c>
      <c r="B54">
        <v>1998984</v>
      </c>
      <c r="C54">
        <f t="shared" ref="C54:C72" si="7">B54/A54</f>
        <v>999.49199999999996</v>
      </c>
      <c r="D54">
        <f t="shared" ref="D54:D72" si="8">B54/A54^2</f>
        <v>0.49974600000000002</v>
      </c>
      <c r="E54">
        <f t="shared" ref="E54:E72" si="9">B54/A54^3</f>
        <v>2.4987300000000001E-4</v>
      </c>
      <c r="F54">
        <v>4</v>
      </c>
    </row>
    <row r="55" spans="1:9" x14ac:dyDescent="0.25">
      <c r="A55">
        <v>3000</v>
      </c>
      <c r="B55">
        <v>4498459</v>
      </c>
      <c r="C55">
        <f t="shared" si="7"/>
        <v>1499.4863333333333</v>
      </c>
      <c r="D55">
        <f t="shared" si="8"/>
        <v>0.49982877777777779</v>
      </c>
      <c r="E55">
        <f t="shared" si="9"/>
        <v>1.6660959259259258E-4</v>
      </c>
      <c r="F55">
        <v>4</v>
      </c>
    </row>
    <row r="56" spans="1:9" x14ac:dyDescent="0.25">
      <c r="A56">
        <v>4000</v>
      </c>
      <c r="B56">
        <v>7997896</v>
      </c>
      <c r="C56">
        <f t="shared" si="7"/>
        <v>1999.4739999999999</v>
      </c>
      <c r="D56">
        <f t="shared" si="8"/>
        <v>0.49986849999999999</v>
      </c>
      <c r="E56">
        <f t="shared" si="9"/>
        <v>1.2496712500000001E-4</v>
      </c>
      <c r="F56">
        <v>4</v>
      </c>
    </row>
    <row r="57" spans="1:9" x14ac:dyDescent="0.25">
      <c r="A57">
        <v>5000</v>
      </c>
      <c r="B57">
        <v>12497326</v>
      </c>
      <c r="C57">
        <f t="shared" si="7"/>
        <v>2499.4652000000001</v>
      </c>
      <c r="D57">
        <f t="shared" si="8"/>
        <v>0.49989304000000001</v>
      </c>
      <c r="E57">
        <f t="shared" si="9"/>
        <v>9.9978607999999994E-5</v>
      </c>
      <c r="F57">
        <v>4</v>
      </c>
    </row>
    <row r="58" spans="1:9" x14ac:dyDescent="0.25">
      <c r="A58">
        <v>6000</v>
      </c>
      <c r="B58">
        <v>17996659</v>
      </c>
      <c r="C58">
        <f t="shared" si="7"/>
        <v>2999.4431666666665</v>
      </c>
      <c r="D58">
        <f t="shared" si="8"/>
        <v>0.49990719444444442</v>
      </c>
      <c r="E58">
        <f t="shared" si="9"/>
        <v>8.3317865740740736E-5</v>
      </c>
      <c r="F58">
        <v>4</v>
      </c>
    </row>
    <row r="59" spans="1:9" x14ac:dyDescent="0.25">
      <c r="A59">
        <v>7000</v>
      </c>
      <c r="B59">
        <v>24496035</v>
      </c>
      <c r="C59">
        <f t="shared" si="7"/>
        <v>3499.4335714285712</v>
      </c>
      <c r="D59">
        <f t="shared" si="8"/>
        <v>0.49991908163265308</v>
      </c>
      <c r="E59">
        <f t="shared" si="9"/>
        <v>7.1417011661807585E-5</v>
      </c>
      <c r="F59">
        <v>4</v>
      </c>
    </row>
    <row r="60" spans="1:9" x14ac:dyDescent="0.25">
      <c r="A60">
        <v>8000</v>
      </c>
      <c r="B60">
        <v>31995305</v>
      </c>
      <c r="C60">
        <f t="shared" si="7"/>
        <v>3999.413125</v>
      </c>
      <c r="D60">
        <f t="shared" si="8"/>
        <v>0.49992664062499997</v>
      </c>
      <c r="E60">
        <f t="shared" si="9"/>
        <v>6.2490830078125003E-5</v>
      </c>
      <c r="F60">
        <v>4</v>
      </c>
    </row>
    <row r="61" spans="1:9" x14ac:dyDescent="0.25">
      <c r="A61">
        <v>9000</v>
      </c>
      <c r="B61">
        <v>40494523</v>
      </c>
      <c r="C61">
        <f t="shared" si="7"/>
        <v>4499.3914444444445</v>
      </c>
      <c r="D61">
        <f t="shared" si="8"/>
        <v>0.49993238271604939</v>
      </c>
      <c r="E61">
        <f t="shared" si="9"/>
        <v>5.5548042524005487E-5</v>
      </c>
      <c r="F61">
        <v>4</v>
      </c>
    </row>
    <row r="62" spans="1:9" x14ac:dyDescent="0.25">
      <c r="A62">
        <v>10000</v>
      </c>
      <c r="B62">
        <v>49993632</v>
      </c>
      <c r="C62">
        <f t="shared" si="7"/>
        <v>4999.3631999999998</v>
      </c>
      <c r="D62">
        <f t="shared" si="8"/>
        <v>0.49993631999999999</v>
      </c>
      <c r="E62">
        <f t="shared" si="9"/>
        <v>4.9993632000000003E-5</v>
      </c>
      <c r="F62">
        <v>4</v>
      </c>
    </row>
    <row r="63" spans="1:9" x14ac:dyDescent="0.25">
      <c r="A63">
        <v>11000</v>
      </c>
      <c r="B63">
        <v>60492720</v>
      </c>
      <c r="C63">
        <f t="shared" si="7"/>
        <v>5499.3381818181815</v>
      </c>
      <c r="D63">
        <f t="shared" si="8"/>
        <v>0.49993983471074382</v>
      </c>
      <c r="E63">
        <f t="shared" si="9"/>
        <v>4.5449075882794892E-5</v>
      </c>
      <c r="F63" t="s">
        <v>4</v>
      </c>
    </row>
    <row r="64" spans="1:9" x14ac:dyDescent="0.25">
      <c r="A64">
        <v>12000</v>
      </c>
      <c r="B64">
        <v>71991964</v>
      </c>
      <c r="C64">
        <f t="shared" si="7"/>
        <v>5999.3303333333333</v>
      </c>
      <c r="D64">
        <f t="shared" si="8"/>
        <v>0.49994419444444443</v>
      </c>
      <c r="E64">
        <f t="shared" si="9"/>
        <v>4.1662016203703705E-5</v>
      </c>
      <c r="F64" t="s">
        <v>4</v>
      </c>
    </row>
    <row r="65" spans="1:6" x14ac:dyDescent="0.25">
      <c r="A65">
        <v>13000</v>
      </c>
      <c r="B65">
        <v>84490683</v>
      </c>
      <c r="C65">
        <f t="shared" si="7"/>
        <v>6499.283307692308</v>
      </c>
      <c r="D65">
        <f t="shared" si="8"/>
        <v>0.49994486982248521</v>
      </c>
      <c r="E65">
        <f t="shared" si="9"/>
        <v>3.8457297678652711E-5</v>
      </c>
      <c r="F65" t="s">
        <v>4</v>
      </c>
    </row>
    <row r="66" spans="1:6" x14ac:dyDescent="0.25">
      <c r="A66">
        <v>14000</v>
      </c>
      <c r="B66">
        <v>97989623</v>
      </c>
      <c r="C66">
        <f t="shared" si="7"/>
        <v>6999.2587857142853</v>
      </c>
      <c r="D66">
        <f t="shared" si="8"/>
        <v>0.499947056122449</v>
      </c>
      <c r="E66">
        <f t="shared" si="9"/>
        <v>3.5710504008746354E-5</v>
      </c>
      <c r="F66" t="s">
        <v>4</v>
      </c>
    </row>
    <row r="67" spans="1:6" x14ac:dyDescent="0.25">
      <c r="A67">
        <v>15000</v>
      </c>
      <c r="B67">
        <v>112488496</v>
      </c>
      <c r="C67">
        <f t="shared" si="7"/>
        <v>7499.2330666666667</v>
      </c>
      <c r="D67">
        <f t="shared" si="8"/>
        <v>0.49994887111111114</v>
      </c>
      <c r="E67">
        <f t="shared" si="9"/>
        <v>3.3329924740740741E-5</v>
      </c>
      <c r="F67" t="s">
        <v>4</v>
      </c>
    </row>
    <row r="68" spans="1:6" x14ac:dyDescent="0.25">
      <c r="A68">
        <v>16000</v>
      </c>
      <c r="B68" s="1">
        <v>127987165</v>
      </c>
      <c r="C68">
        <f t="shared" si="7"/>
        <v>7999.1978124999996</v>
      </c>
      <c r="D68">
        <f t="shared" si="8"/>
        <v>0.49994986328125002</v>
      </c>
      <c r="E68">
        <f t="shared" si="9"/>
        <v>3.1246866455078128E-5</v>
      </c>
      <c r="F68" t="s">
        <v>4</v>
      </c>
    </row>
    <row r="69" spans="1:6" x14ac:dyDescent="0.25">
      <c r="A69">
        <v>17000</v>
      </c>
      <c r="B69" s="1">
        <v>144485813</v>
      </c>
      <c r="C69">
        <f t="shared" si="7"/>
        <v>8499.1654705882356</v>
      </c>
      <c r="D69">
        <f t="shared" si="8"/>
        <v>0.49995091003460207</v>
      </c>
      <c r="E69">
        <f t="shared" si="9"/>
        <v>2.9408877060858947E-5</v>
      </c>
      <c r="F69" t="s">
        <v>4</v>
      </c>
    </row>
    <row r="70" spans="1:6" x14ac:dyDescent="0.25">
      <c r="A70">
        <v>18000</v>
      </c>
      <c r="B70" s="1">
        <v>161984563</v>
      </c>
      <c r="C70">
        <f t="shared" si="7"/>
        <v>8999.1423888888894</v>
      </c>
      <c r="D70">
        <f t="shared" si="8"/>
        <v>0.49995235493827161</v>
      </c>
      <c r="E70">
        <f t="shared" si="9"/>
        <v>2.7775130829903979E-5</v>
      </c>
      <c r="F70" t="s">
        <v>4</v>
      </c>
    </row>
    <row r="71" spans="1:6" x14ac:dyDescent="0.25">
      <c r="A71">
        <v>19000</v>
      </c>
      <c r="B71" s="1">
        <v>180482866</v>
      </c>
      <c r="C71">
        <f t="shared" si="7"/>
        <v>9499.0982105263156</v>
      </c>
      <c r="D71">
        <f t="shared" si="8"/>
        <v>0.49995253739612189</v>
      </c>
      <c r="E71">
        <f t="shared" si="9"/>
        <v>2.6313291441901151E-5</v>
      </c>
      <c r="F71" t="s">
        <v>4</v>
      </c>
    </row>
    <row r="72" spans="1:6" x14ac:dyDescent="0.25">
      <c r="A72">
        <v>20000</v>
      </c>
      <c r="B72" s="1">
        <v>199981299</v>
      </c>
      <c r="C72">
        <f t="shared" si="7"/>
        <v>9999.06495</v>
      </c>
      <c r="D72">
        <f t="shared" si="8"/>
        <v>0.49995324749999998</v>
      </c>
      <c r="E72">
        <f t="shared" si="9"/>
        <v>2.4997662375000001E-5</v>
      </c>
      <c r="F7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Marc-Alexandre Martin-Lauzer</dc:creator>
  <cp:lastModifiedBy>Marc-Alexandre Martin-Lauzer</cp:lastModifiedBy>
  <dcterms:created xsi:type="dcterms:W3CDTF">2025-10-01T21:50:45Z</dcterms:created>
  <dcterms:modified xsi:type="dcterms:W3CDTF">2025-10-02T02:55:45Z</dcterms:modified>
</cp:coreProperties>
</file>